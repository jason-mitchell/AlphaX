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mp\Work\AlphaX\HDM01\Software\Utilities\LCDImager\"/>
    </mc:Choice>
  </mc:AlternateContent>
  <bookViews>
    <workbookView xWindow="0" yWindow="0" windowWidth="21570" windowHeight="8160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2" l="1"/>
  <c r="M29" i="2"/>
  <c r="M28" i="2"/>
  <c r="M27" i="2"/>
  <c r="M26" i="2"/>
  <c r="M25" i="2"/>
  <c r="M24" i="2"/>
  <c r="M23" i="2"/>
  <c r="K30" i="1"/>
  <c r="K29" i="1"/>
  <c r="K28" i="1"/>
  <c r="K27" i="1"/>
  <c r="K26" i="1"/>
  <c r="K25" i="1"/>
  <c r="K24" i="1"/>
  <c r="K23" i="1"/>
  <c r="Y20" i="1"/>
  <c r="Y16" i="1"/>
  <c r="Y19" i="1"/>
  <c r="Y15" i="1"/>
  <c r="Y18" i="1"/>
  <c r="Y14" i="1"/>
  <c r="Y21" i="1"/>
  <c r="Y17" i="1"/>
  <c r="X20" i="1"/>
  <c r="X16" i="1"/>
  <c r="X19" i="1"/>
  <c r="X15" i="1"/>
  <c r="X18" i="1"/>
  <c r="X14" i="1"/>
  <c r="X21" i="1"/>
  <c r="X17" i="1"/>
  <c r="D21" i="2"/>
  <c r="E20" i="2"/>
  <c r="A20" i="2"/>
  <c r="B19" i="2"/>
  <c r="C18" i="2"/>
  <c r="D17" i="2"/>
  <c r="E16" i="2"/>
  <c r="A16" i="2"/>
  <c r="B15" i="2"/>
  <c r="C14" i="2"/>
  <c r="C21" i="2"/>
  <c r="D20" i="2"/>
  <c r="E19" i="2"/>
  <c r="A19" i="2"/>
  <c r="B18" i="2"/>
  <c r="C17" i="2"/>
  <c r="D16" i="2"/>
  <c r="E15" i="2"/>
  <c r="A15" i="2"/>
  <c r="B14" i="2"/>
  <c r="B21" i="2"/>
  <c r="C20" i="2"/>
  <c r="D19" i="2"/>
  <c r="E18" i="2"/>
  <c r="A18" i="2"/>
  <c r="B17" i="2"/>
  <c r="C16" i="2"/>
  <c r="D15" i="2"/>
  <c r="E14" i="2"/>
  <c r="A14" i="2"/>
  <c r="E21" i="2"/>
  <c r="A21" i="2"/>
  <c r="B20" i="2"/>
  <c r="C19" i="2"/>
  <c r="D18" i="2"/>
  <c r="E17" i="2"/>
  <c r="A17" i="2"/>
  <c r="B16" i="2"/>
  <c r="C15" i="2"/>
  <c r="D14" i="2"/>
  <c r="V21" i="1"/>
  <c r="W20" i="1"/>
  <c r="S20" i="1"/>
  <c r="T19" i="1"/>
  <c r="U18" i="1"/>
  <c r="V17" i="1"/>
  <c r="W16" i="1"/>
  <c r="S16" i="1"/>
  <c r="T15" i="1"/>
  <c r="U14" i="1"/>
  <c r="U21" i="1"/>
  <c r="V20" i="1"/>
  <c r="W19" i="1"/>
  <c r="S19" i="1"/>
  <c r="T18" i="1"/>
  <c r="U17" i="1"/>
  <c r="V16" i="1"/>
  <c r="W15" i="1"/>
  <c r="S15" i="1"/>
  <c r="T14" i="1"/>
  <c r="T21" i="1"/>
  <c r="U20" i="1"/>
  <c r="V19" i="1"/>
  <c r="W18" i="1"/>
  <c r="S18" i="1"/>
  <c r="T17" i="1"/>
  <c r="U16" i="1"/>
  <c r="V15" i="1"/>
  <c r="W14" i="1"/>
  <c r="S14" i="1"/>
  <c r="W21" i="1"/>
  <c r="S21" i="1"/>
  <c r="T20" i="1"/>
  <c r="U19" i="1"/>
  <c r="V18" i="1"/>
  <c r="W17" i="1"/>
  <c r="S17" i="1"/>
  <c r="T16" i="1"/>
  <c r="U15" i="1"/>
  <c r="V14" i="1"/>
  <c r="E21" i="1"/>
  <c r="E17" i="1"/>
  <c r="E20" i="1"/>
  <c r="E16" i="1"/>
  <c r="E19" i="1"/>
  <c r="E15" i="1"/>
  <c r="E18" i="1"/>
  <c r="E14" i="1"/>
  <c r="D21" i="1"/>
  <c r="D17" i="1"/>
  <c r="D20" i="1"/>
  <c r="D16" i="1"/>
  <c r="D19" i="1"/>
  <c r="D15" i="1"/>
  <c r="D18" i="1"/>
  <c r="D14" i="1"/>
  <c r="C21" i="1"/>
  <c r="C17" i="1"/>
  <c r="C20" i="1"/>
  <c r="C16" i="1"/>
  <c r="C19" i="1"/>
  <c r="C15" i="1"/>
  <c r="C18" i="1"/>
  <c r="C14" i="1"/>
  <c r="B19" i="1"/>
  <c r="B15" i="1"/>
  <c r="B18" i="1"/>
  <c r="B14" i="1"/>
  <c r="B21" i="1"/>
  <c r="B17" i="1"/>
  <c r="B20" i="1"/>
  <c r="B16" i="1"/>
  <c r="A21" i="1"/>
  <c r="A20" i="1"/>
  <c r="A19" i="1"/>
  <c r="A18" i="1"/>
  <c r="A17" i="1"/>
  <c r="A16" i="1"/>
  <c r="A15" i="1"/>
  <c r="A14" i="1"/>
  <c r="AG27" i="1" l="1"/>
  <c r="AG23" i="1"/>
  <c r="AG30" i="1"/>
  <c r="AG26" i="1"/>
  <c r="AG29" i="1"/>
  <c r="AG25" i="1"/>
  <c r="AG28" i="1"/>
  <c r="AG24" i="1"/>
  <c r="AF27" i="1"/>
  <c r="AF23" i="1"/>
  <c r="AF30" i="1"/>
  <c r="AF26" i="1"/>
  <c r="AF29" i="1"/>
  <c r="AF25" i="1"/>
  <c r="AF28" i="1"/>
  <c r="AF24" i="1"/>
  <c r="K31" i="1"/>
  <c r="M31" i="2"/>
  <c r="K30" i="2"/>
  <c r="J29" i="2"/>
  <c r="I28" i="2"/>
  <c r="H27" i="2"/>
  <c r="L27" i="2"/>
  <c r="K26" i="2"/>
  <c r="J25" i="2"/>
  <c r="I24" i="2"/>
  <c r="H23" i="2"/>
  <c r="L23" i="2"/>
  <c r="H30" i="2"/>
  <c r="L30" i="2"/>
  <c r="K29" i="2"/>
  <c r="J28" i="2"/>
  <c r="I27" i="2"/>
  <c r="H26" i="2"/>
  <c r="L26" i="2"/>
  <c r="K25" i="2"/>
  <c r="J24" i="2"/>
  <c r="I23" i="2"/>
  <c r="I30" i="2"/>
  <c r="H29" i="2"/>
  <c r="L29" i="2"/>
  <c r="K28" i="2"/>
  <c r="J27" i="2"/>
  <c r="I26" i="2"/>
  <c r="H25" i="2"/>
  <c r="L25" i="2"/>
  <c r="K24" i="2"/>
  <c r="J23" i="2"/>
  <c r="J30" i="2"/>
  <c r="I29" i="2"/>
  <c r="H28" i="2"/>
  <c r="L28" i="2"/>
  <c r="K27" i="2"/>
  <c r="J26" i="2"/>
  <c r="I25" i="2"/>
  <c r="H24" i="2"/>
  <c r="L24" i="2"/>
  <c r="K23" i="2"/>
  <c r="AD30" i="1"/>
  <c r="AC29" i="1"/>
  <c r="AB28" i="1"/>
  <c r="AA27" i="1"/>
  <c r="AE27" i="1"/>
  <c r="AD26" i="1"/>
  <c r="AC25" i="1"/>
  <c r="AB24" i="1"/>
  <c r="AA23" i="1"/>
  <c r="AE23" i="1"/>
  <c r="AA30" i="1"/>
  <c r="AE30" i="1"/>
  <c r="AD29" i="1"/>
  <c r="AC28" i="1"/>
  <c r="AB27" i="1"/>
  <c r="AA26" i="1"/>
  <c r="AE26" i="1"/>
  <c r="AD25" i="1"/>
  <c r="AC24" i="1"/>
  <c r="AB23" i="1"/>
  <c r="AB30" i="1"/>
  <c r="AA29" i="1"/>
  <c r="AE29" i="1"/>
  <c r="AD28" i="1"/>
  <c r="AC27" i="1"/>
  <c r="AB26" i="1"/>
  <c r="AA25" i="1"/>
  <c r="AE25" i="1"/>
  <c r="AD24" i="1"/>
  <c r="AC23" i="1"/>
  <c r="AC30" i="1"/>
  <c r="AB29" i="1"/>
  <c r="AA28" i="1"/>
  <c r="AE28" i="1"/>
  <c r="AD27" i="1"/>
  <c r="AC26" i="1"/>
  <c r="AB25" i="1"/>
  <c r="AA24" i="1"/>
  <c r="AE24" i="1"/>
  <c r="AD23" i="1"/>
  <c r="J30" i="1"/>
  <c r="J26" i="1"/>
  <c r="J29" i="1"/>
  <c r="J25" i="1"/>
  <c r="J28" i="1"/>
  <c r="J24" i="1"/>
  <c r="J27" i="1"/>
  <c r="J23" i="1"/>
  <c r="I30" i="1"/>
  <c r="I26" i="1"/>
  <c r="I29" i="1"/>
  <c r="I25" i="1"/>
  <c r="I28" i="1"/>
  <c r="I24" i="1"/>
  <c r="I27" i="1"/>
  <c r="I23" i="1"/>
  <c r="H30" i="1"/>
  <c r="H26" i="1"/>
  <c r="H29" i="1"/>
  <c r="H25" i="1"/>
  <c r="H28" i="1"/>
  <c r="H24" i="1"/>
  <c r="H27" i="1"/>
  <c r="H23" i="1"/>
  <c r="G28" i="1"/>
  <c r="G24" i="1"/>
  <c r="G27" i="1"/>
  <c r="G23" i="1"/>
  <c r="G30" i="1"/>
  <c r="G26" i="1"/>
  <c r="G29" i="1"/>
  <c r="G25" i="1"/>
  <c r="F30" i="1"/>
  <c r="F29" i="1"/>
  <c r="F28" i="1"/>
  <c r="F27" i="1"/>
  <c r="F26" i="1"/>
  <c r="F25" i="1"/>
  <c r="F24" i="1"/>
  <c r="F23" i="1"/>
  <c r="AG31" i="1" l="1"/>
  <c r="Y23" i="1" s="1"/>
  <c r="AF31" i="1"/>
  <c r="X23" i="1" s="1"/>
  <c r="K31" i="2"/>
  <c r="D23" i="2" s="1"/>
  <c r="I31" i="2"/>
  <c r="B23" i="2" s="1"/>
  <c r="J31" i="2"/>
  <c r="C23" i="2" s="1"/>
  <c r="L31" i="2"/>
  <c r="E23" i="2" s="1"/>
  <c r="H31" i="2"/>
  <c r="A23" i="2" s="1"/>
  <c r="AD31" i="1"/>
  <c r="V23" i="1" s="1"/>
  <c r="AB31" i="1"/>
  <c r="T23" i="1" s="1"/>
  <c r="AC31" i="1"/>
  <c r="U23" i="1" s="1"/>
  <c r="AE31" i="1"/>
  <c r="W23" i="1" s="1"/>
  <c r="AA31" i="1"/>
  <c r="S23" i="1" s="1"/>
  <c r="H31" i="1"/>
  <c r="C23" i="1" s="1"/>
  <c r="I31" i="1"/>
  <c r="D23" i="1" s="1"/>
  <c r="J31" i="1"/>
  <c r="E23" i="1" s="1"/>
  <c r="G31" i="1"/>
  <c r="B23" i="1" s="1"/>
  <c r="F31" i="1"/>
  <c r="A23" i="1" s="1"/>
</calcChain>
</file>

<file path=xl/sharedStrings.xml><?xml version="1.0" encoding="utf-8"?>
<sst xmlns="http://schemas.openxmlformats.org/spreadsheetml/2006/main" count="2" uniqueCount="1">
  <si>
    <t>GraphLCD Font Creation Tool v1.0.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</si>
</sst>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  <font>
      <sz val="8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4">
    <xf numFmtId="0" fontId="0" fillId="0" borderId="0" xfId="0"/>
    <xf numFmtId="0" fontId="0" fillId="0" borderId="0" xfId="0" applyBorder="1"/>
    <xf numFmtId="0" fontId="2" fillId="3" borderId="1" xfId="2"/>
    <xf numFmtId="0" fontId="3" fillId="0" borderId="0" xfId="0" applyFont="1"/>
    <xf numFmtId="0" fontId="0" fillId="0" borderId="0" xfId="0" applyNumberFormat="1"/>
    <xf numFmtId="0" fontId="4" fillId="0" borderId="0" xfId="0" applyFont="1"/>
    <xf numFmtId="0" fontId="5" fillId="0" borderId="0" xfId="0" applyFont="1"/>
    <xf numFmtId="0" fontId="3" fillId="0" borderId="3" xfId="0" applyFont="1" applyBorder="1"/>
    <xf numFmtId="0" fontId="6" fillId="0" borderId="2" xfId="0" applyFont="1" applyBorder="1"/>
    <xf numFmtId="0" fontId="0" fillId="0" borderId="2" xfId="0" applyBorder="1"/>
    <xf numFmtId="0" fontId="6" fillId="0" borderId="0" xfId="0" applyFont="1" applyBorder="1"/>
    <xf numFmtId="0" fontId="1" fillId="2" borderId="0" xfId="1"/>
    <xf numFmtId="0" fontId="2" fillId="3" borderId="2" xfId="2" applyBorder="1"/>
    <xf numFmtId="0" fontId="0" fillId="0" borderId="4" xfId="0" applyBorder="1"/>
  </cellXfs>
  <cellStyles count="3">
    <cellStyle name="Bad" xfId="1" builtinId="27"/>
    <cellStyle name="Check Cell" xfId="2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34"/>
  <sheetViews>
    <sheetView tabSelected="1" workbookViewId="0">
      <selection activeCell="AD9" sqref="AD9"/>
    </sheetView>
  </sheetViews>
  <sheetFormatPr defaultRowHeight="15" x14ac:dyDescent="0.25"/>
  <cols>
    <col min="1" max="1" width="3.42578125" customWidth="1"/>
    <col min="2" max="2" width="3.5703125" customWidth="1"/>
    <col min="3" max="3" width="3.42578125" customWidth="1"/>
    <col min="4" max="4" width="3.28515625" customWidth="1"/>
    <col min="5" max="5" width="3.7109375" customWidth="1"/>
    <col min="7" max="9" width="3.7109375" customWidth="1"/>
    <col min="10" max="10" width="3.42578125" customWidth="1"/>
    <col min="11" max="11" width="3.7109375" customWidth="1"/>
    <col min="12" max="12" width="9.140625" customWidth="1"/>
    <col min="13" max="13" width="4" customWidth="1"/>
    <col min="14" max="14" width="3.85546875" customWidth="1"/>
    <col min="15" max="15" width="4.28515625" customWidth="1"/>
    <col min="16" max="16" width="2.5703125" customWidth="1"/>
    <col min="17" max="17" width="2.85546875" customWidth="1"/>
    <col min="18" max="18" width="3.42578125" customWidth="1"/>
    <col min="19" max="21" width="3" customWidth="1"/>
    <col min="22" max="22" width="2.7109375" customWidth="1"/>
    <col min="23" max="24" width="3.140625" customWidth="1"/>
    <col min="25" max="25" width="3" customWidth="1"/>
    <col min="26" max="26" width="4.140625" customWidth="1"/>
    <col min="27" max="27" width="4.42578125" customWidth="1"/>
    <col min="28" max="28" width="4.5703125" customWidth="1"/>
    <col min="29" max="29" width="3.42578125" customWidth="1"/>
    <col min="30" max="30" width="2.140625" customWidth="1"/>
    <col min="36" max="36" width="2.85546875" customWidth="1"/>
    <col min="37" max="37" width="3.42578125" customWidth="1"/>
    <col min="38" max="38" width="3.28515625" customWidth="1"/>
    <col min="39" max="39" width="3.5703125" customWidth="1"/>
    <col min="40" max="40" width="3.28515625" customWidth="1"/>
  </cols>
  <sheetData>
    <row r="1" spans="1:39" ht="21" x14ac:dyDescent="0.35">
      <c r="A1" s="5" t="s">
        <v>0</v>
      </c>
      <c r="B1" s="6"/>
      <c r="C1" s="6"/>
      <c r="D1" s="6"/>
      <c r="E1" s="6"/>
      <c r="F1" s="6"/>
      <c r="G1" s="6"/>
      <c r="H1" s="6"/>
      <c r="I1" s="6"/>
    </row>
    <row r="2" spans="1:39" x14ac:dyDescent="0.25">
      <c r="S2">
        <v>1</v>
      </c>
      <c r="T2">
        <v>2</v>
      </c>
      <c r="U2">
        <v>3</v>
      </c>
      <c r="V2">
        <v>4</v>
      </c>
      <c r="W2">
        <v>5</v>
      </c>
      <c r="X2">
        <v>6</v>
      </c>
      <c r="Y2">
        <v>7</v>
      </c>
    </row>
    <row r="3" spans="1:39" ht="15.75" thickBot="1" x14ac:dyDescent="0.3"/>
    <row r="4" spans="1:39" ht="16.5" thickTop="1" thickBot="1" x14ac:dyDescent="0.3">
      <c r="A4" s="9"/>
      <c r="B4" s="9"/>
      <c r="C4" s="9"/>
      <c r="D4" s="9"/>
      <c r="E4" s="9"/>
      <c r="P4" s="11"/>
      <c r="S4" s="9"/>
      <c r="T4" s="9"/>
      <c r="U4" s="9"/>
      <c r="V4" s="9"/>
      <c r="W4" s="9"/>
      <c r="X4" s="9"/>
      <c r="Y4" s="9"/>
      <c r="AK4" s="2"/>
      <c r="AM4" s="2"/>
    </row>
    <row r="5" spans="1:39" ht="16.5" thickTop="1" thickBot="1" x14ac:dyDescent="0.3">
      <c r="A5" s="9"/>
      <c r="B5" s="9"/>
      <c r="C5" s="9"/>
      <c r="D5" s="9"/>
      <c r="E5" s="9"/>
      <c r="P5" s="11"/>
      <c r="S5" s="9"/>
      <c r="T5" s="2"/>
      <c r="U5" s="9"/>
      <c r="V5" s="2"/>
      <c r="W5" s="9"/>
      <c r="X5" s="9"/>
      <c r="Y5" s="9"/>
      <c r="AK5" s="2"/>
      <c r="AM5" s="2"/>
    </row>
    <row r="6" spans="1:39" ht="16.5" thickTop="1" thickBot="1" x14ac:dyDescent="0.3">
      <c r="A6" s="9"/>
      <c r="B6" s="12"/>
      <c r="C6" s="9"/>
      <c r="D6" s="9"/>
      <c r="E6" s="9"/>
      <c r="P6" s="11"/>
      <c r="S6" s="9"/>
      <c r="T6" s="9"/>
      <c r="U6" s="2"/>
      <c r="V6" s="9"/>
      <c r="W6" s="9"/>
      <c r="X6" s="9"/>
      <c r="Y6" s="9"/>
      <c r="AL6" s="2"/>
    </row>
    <row r="7" spans="1:39" ht="16.5" thickTop="1" thickBot="1" x14ac:dyDescent="0.3">
      <c r="A7" s="12"/>
      <c r="B7" s="12"/>
      <c r="C7" s="9"/>
      <c r="D7" s="9"/>
      <c r="E7" s="9"/>
      <c r="P7" s="11"/>
      <c r="S7" s="9"/>
      <c r="T7" s="2"/>
      <c r="U7" s="9"/>
      <c r="V7" s="2"/>
      <c r="W7" s="9"/>
      <c r="X7" s="9"/>
      <c r="Y7" s="9"/>
      <c r="AK7" s="2"/>
      <c r="AM7" s="2"/>
    </row>
    <row r="8" spans="1:39" ht="16.5" thickTop="1" thickBot="1" x14ac:dyDescent="0.3">
      <c r="A8" s="9"/>
      <c r="B8" s="12"/>
      <c r="C8" s="9"/>
      <c r="D8" s="9"/>
      <c r="E8" s="9"/>
      <c r="P8" s="11"/>
      <c r="S8" s="9"/>
      <c r="T8" s="9"/>
      <c r="U8" s="9"/>
      <c r="V8" s="9"/>
      <c r="W8" s="9"/>
      <c r="X8" s="9"/>
      <c r="Y8" s="9"/>
      <c r="AK8" s="2"/>
      <c r="AM8" s="2"/>
    </row>
    <row r="9" spans="1:39" ht="15.75" thickTop="1" x14ac:dyDescent="0.25">
      <c r="A9" s="9"/>
      <c r="B9" s="12"/>
      <c r="C9" s="9"/>
      <c r="D9" s="9"/>
      <c r="E9" s="9"/>
      <c r="P9" s="11"/>
      <c r="S9" s="9"/>
      <c r="T9" s="9"/>
      <c r="U9" s="9"/>
      <c r="V9" s="13"/>
      <c r="W9" s="9"/>
      <c r="X9" s="9"/>
      <c r="Y9" s="9"/>
    </row>
    <row r="10" spans="1:39" x14ac:dyDescent="0.25">
      <c r="A10" s="9"/>
      <c r="B10" s="12"/>
      <c r="C10" s="9"/>
      <c r="D10" s="9"/>
      <c r="E10" s="9"/>
      <c r="R10" s="3"/>
      <c r="S10" s="9"/>
      <c r="T10" s="9"/>
      <c r="U10" s="9"/>
      <c r="V10" s="13"/>
      <c r="W10" s="9"/>
      <c r="X10" s="9"/>
      <c r="Y10" s="9"/>
    </row>
    <row r="11" spans="1:39" x14ac:dyDescent="0.25">
      <c r="A11" s="9"/>
      <c r="B11" s="9"/>
      <c r="C11" s="9"/>
      <c r="D11" s="9"/>
      <c r="E11" s="9"/>
      <c r="R11" s="3"/>
      <c r="S11" s="9"/>
      <c r="T11" s="9"/>
      <c r="U11" s="9"/>
      <c r="V11" s="9"/>
      <c r="W11" s="9"/>
      <c r="X11" s="9"/>
      <c r="Y11" s="9"/>
    </row>
    <row r="12" spans="1:39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39" x14ac:dyDescent="0.25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4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39" x14ac:dyDescent="0.25">
      <c r="A14">
        <f ca="1">BGCol(A4)</f>
        <v>0</v>
      </c>
      <c r="B14">
        <f ca="1">BGCol(B4)</f>
        <v>0</v>
      </c>
      <c r="C14">
        <f ca="1">BGCol(C4)</f>
        <v>0</v>
      </c>
      <c r="D14">
        <f ca="1">BGCol(D4)</f>
        <v>0</v>
      </c>
      <c r="E14">
        <f ca="1">BGCol(E4)</f>
        <v>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>
        <f ca="1">BGCol(S4)</f>
        <v>0</v>
      </c>
      <c r="T14">
        <f ca="1">BGCol(T4)</f>
        <v>0</v>
      </c>
      <c r="U14">
        <f ca="1">BGCol(U4)</f>
        <v>0</v>
      </c>
      <c r="V14">
        <f ca="1">BGCol(V4)</f>
        <v>0</v>
      </c>
      <c r="W14">
        <f ca="1">BGCol(W4)</f>
        <v>0</v>
      </c>
      <c r="X14">
        <f ca="1">BGCol(X4)</f>
        <v>0</v>
      </c>
      <c r="Y14">
        <f ca="1">BGCol(Y4)</f>
        <v>0</v>
      </c>
      <c r="Z14" s="3"/>
      <c r="AA14" s="3"/>
      <c r="AB14" s="3"/>
      <c r="AC14" s="3"/>
    </row>
    <row r="15" spans="1:39" x14ac:dyDescent="0.25">
      <c r="A15">
        <f ca="1">BGCol(A5)</f>
        <v>0</v>
      </c>
      <c r="B15">
        <f ca="1">BGCol(B5)</f>
        <v>0</v>
      </c>
      <c r="C15">
        <f ca="1">BGCol(C5)</f>
        <v>0</v>
      </c>
      <c r="D15">
        <f ca="1">BGCol(D5)</f>
        <v>0</v>
      </c>
      <c r="E15">
        <f ca="1">BGCol(E5)</f>
        <v>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>
        <f ca="1">BGCol(S5)</f>
        <v>0</v>
      </c>
      <c r="T15">
        <f ca="1">BGCol(T5)</f>
        <v>1</v>
      </c>
      <c r="U15">
        <f ca="1">BGCol(U5)</f>
        <v>0</v>
      </c>
      <c r="V15">
        <f ca="1">BGCol(V5)</f>
        <v>1</v>
      </c>
      <c r="W15">
        <f ca="1">BGCol(W5)</f>
        <v>0</v>
      </c>
      <c r="X15">
        <f ca="1">BGCol(X5)</f>
        <v>0</v>
      </c>
      <c r="Y15">
        <f ca="1">BGCol(Y5)</f>
        <v>0</v>
      </c>
      <c r="Z15" s="3"/>
      <c r="AA15" s="3"/>
      <c r="AB15" s="3"/>
      <c r="AC15" s="3"/>
    </row>
    <row r="16" spans="1:39" x14ac:dyDescent="0.25">
      <c r="A16">
        <f ca="1">BGCol(A6)</f>
        <v>0</v>
      </c>
      <c r="B16">
        <f ca="1">BGCol(B6)</f>
        <v>1</v>
      </c>
      <c r="C16">
        <f ca="1">BGCol(C6)</f>
        <v>0</v>
      </c>
      <c r="D16">
        <f ca="1">BGCol(D6)</f>
        <v>0</v>
      </c>
      <c r="E16">
        <f ca="1">BGCol(E6)</f>
        <v>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>
        <f ca="1">BGCol(S6)</f>
        <v>0</v>
      </c>
      <c r="T16">
        <f ca="1">BGCol(T6)</f>
        <v>0</v>
      </c>
      <c r="U16">
        <f ca="1">BGCol(U6)</f>
        <v>1</v>
      </c>
      <c r="V16">
        <f ca="1">BGCol(V6)</f>
        <v>0</v>
      </c>
      <c r="W16">
        <f ca="1">BGCol(W6)</f>
        <v>0</v>
      </c>
      <c r="X16">
        <f ca="1">BGCol(X6)</f>
        <v>0</v>
      </c>
      <c r="Y16">
        <f ca="1">BGCol(Y6)</f>
        <v>0</v>
      </c>
      <c r="Z16" s="3"/>
      <c r="AA16" s="3"/>
      <c r="AB16" s="3"/>
      <c r="AC16" s="3"/>
    </row>
    <row r="17" spans="1:33" x14ac:dyDescent="0.25">
      <c r="A17">
        <f ca="1">BGCol(A7)</f>
        <v>1</v>
      </c>
      <c r="B17">
        <f ca="1">BGCol(B7)</f>
        <v>1</v>
      </c>
      <c r="C17">
        <f ca="1">BGCol(C7)</f>
        <v>0</v>
      </c>
      <c r="D17">
        <f ca="1">BGCol(D7)</f>
        <v>0</v>
      </c>
      <c r="E17">
        <f ca="1">BGCol(E7)</f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>
        <f ca="1">BGCol(S7)</f>
        <v>0</v>
      </c>
      <c r="T17">
        <f ca="1">BGCol(T7)</f>
        <v>1</v>
      </c>
      <c r="U17">
        <f ca="1">BGCol(U7)</f>
        <v>0</v>
      </c>
      <c r="V17">
        <f ca="1">BGCol(V7)</f>
        <v>1</v>
      </c>
      <c r="W17">
        <f ca="1">BGCol(W7)</f>
        <v>0</v>
      </c>
      <c r="X17">
        <f ca="1">BGCol(X7)</f>
        <v>0</v>
      </c>
      <c r="Y17">
        <f ca="1">BGCol(Y7)</f>
        <v>0</v>
      </c>
      <c r="Z17" s="3"/>
      <c r="AA17" s="3"/>
      <c r="AB17" s="3"/>
      <c r="AC17" s="3"/>
    </row>
    <row r="18" spans="1:33" x14ac:dyDescent="0.25">
      <c r="A18">
        <f ca="1">BGCol(A8)</f>
        <v>0</v>
      </c>
      <c r="B18">
        <f ca="1">BGCol(B8)</f>
        <v>1</v>
      </c>
      <c r="C18">
        <f ca="1">BGCol(C8)</f>
        <v>0</v>
      </c>
      <c r="D18">
        <f ca="1">BGCol(D8)</f>
        <v>0</v>
      </c>
      <c r="E18">
        <f ca="1">BGCol(E8)</f>
        <v>0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>
        <f ca="1">BGCol(S8)</f>
        <v>0</v>
      </c>
      <c r="T18">
        <f ca="1">BGCol(T8)</f>
        <v>0</v>
      </c>
      <c r="U18">
        <f ca="1">BGCol(U8)</f>
        <v>0</v>
      </c>
      <c r="V18">
        <f ca="1">BGCol(V8)</f>
        <v>0</v>
      </c>
      <c r="W18">
        <f ca="1">BGCol(W8)</f>
        <v>0</v>
      </c>
      <c r="X18">
        <f ca="1">BGCol(X8)</f>
        <v>0</v>
      </c>
      <c r="Y18">
        <f ca="1">BGCol(Y8)</f>
        <v>0</v>
      </c>
      <c r="Z18" s="3"/>
      <c r="AA18" s="3"/>
      <c r="AB18" s="3"/>
      <c r="AC18" s="3"/>
    </row>
    <row r="19" spans="1:33" x14ac:dyDescent="0.25">
      <c r="A19">
        <f ca="1">BGCol(A9)</f>
        <v>0</v>
      </c>
      <c r="B19">
        <f ca="1">BGCol(B9)</f>
        <v>1</v>
      </c>
      <c r="C19">
        <f ca="1">BGCol(C9)</f>
        <v>0</v>
      </c>
      <c r="D19">
        <f ca="1">BGCol(D9)</f>
        <v>0</v>
      </c>
      <c r="E19">
        <f ca="1">BGCol(E9)</f>
        <v>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>
        <f ca="1">BGCol(S9)</f>
        <v>0</v>
      </c>
      <c r="T19">
        <f ca="1">BGCol(T9)</f>
        <v>0</v>
      </c>
      <c r="U19">
        <f ca="1">BGCol(U9)</f>
        <v>0</v>
      </c>
      <c r="V19">
        <f ca="1">BGCol(V9)</f>
        <v>0</v>
      </c>
      <c r="W19">
        <f ca="1">BGCol(W9)</f>
        <v>0</v>
      </c>
      <c r="X19">
        <f ca="1">BGCol(X9)</f>
        <v>0</v>
      </c>
      <c r="Y19">
        <f ca="1">BGCol(Y9)</f>
        <v>0</v>
      </c>
      <c r="Z19" s="3"/>
      <c r="AA19" s="3"/>
      <c r="AB19" s="3"/>
      <c r="AC19" s="3"/>
    </row>
    <row r="20" spans="1:33" x14ac:dyDescent="0.25">
      <c r="A20">
        <f ca="1">BGCol(A10)</f>
        <v>0</v>
      </c>
      <c r="B20">
        <f ca="1">BGCol(B10)</f>
        <v>1</v>
      </c>
      <c r="C20">
        <f ca="1">BGCol(C10)</f>
        <v>0</v>
      </c>
      <c r="D20">
        <f ca="1">BGCol(D10)</f>
        <v>0</v>
      </c>
      <c r="E20">
        <f ca="1">BGCol(E10)</f>
        <v>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>
        <f ca="1">BGCol(S10)</f>
        <v>0</v>
      </c>
      <c r="T20">
        <f ca="1">BGCol(T10)</f>
        <v>0</v>
      </c>
      <c r="U20">
        <f ca="1">BGCol(U10)</f>
        <v>0</v>
      </c>
      <c r="V20">
        <f ca="1">BGCol(V10)</f>
        <v>0</v>
      </c>
      <c r="W20">
        <f ca="1">BGCol(W10)</f>
        <v>0</v>
      </c>
      <c r="X20">
        <f ca="1">BGCol(X10)</f>
        <v>0</v>
      </c>
      <c r="Y20">
        <f ca="1">BGCol(Y10)</f>
        <v>0</v>
      </c>
      <c r="Z20" s="3"/>
      <c r="AA20" s="3"/>
      <c r="AB20" s="3"/>
      <c r="AC20" s="3"/>
    </row>
    <row r="21" spans="1:33" x14ac:dyDescent="0.25">
      <c r="A21">
        <f ca="1">BGCol(A11)</f>
        <v>0</v>
      </c>
      <c r="B21">
        <f ca="1">BGCol(B11)</f>
        <v>0</v>
      </c>
      <c r="C21">
        <f ca="1">BGCol(C11)</f>
        <v>0</v>
      </c>
      <c r="D21">
        <f ca="1">BGCol(D11)</f>
        <v>0</v>
      </c>
      <c r="E21">
        <f ca="1">BGCol(E11)</f>
        <v>0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>
        <f ca="1">BGCol(S11)</f>
        <v>0</v>
      </c>
      <c r="T21">
        <f ca="1">BGCol(T11)</f>
        <v>0</v>
      </c>
      <c r="U21">
        <f ca="1">BGCol(U11)</f>
        <v>0</v>
      </c>
      <c r="V21">
        <f ca="1">BGCol(V11)</f>
        <v>0</v>
      </c>
      <c r="W21">
        <f ca="1">BGCol(W11)</f>
        <v>0</v>
      </c>
      <c r="X21">
        <f ca="1">BGCol(X11)</f>
        <v>0</v>
      </c>
      <c r="Y21">
        <f ca="1">BGCol(Y11)</f>
        <v>0</v>
      </c>
      <c r="Z21" s="3"/>
      <c r="AA21" s="3"/>
      <c r="AB21" s="3"/>
      <c r="AC21" s="3"/>
    </row>
    <row r="22" spans="1:33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33" x14ac:dyDescent="0.25">
      <c r="A23" s="8" t="str">
        <f ca="1">DEC2HEX(F31, 2)</f>
        <v>08</v>
      </c>
      <c r="B23" s="8" t="str">
        <f ca="1">DEC2HEX(G31, 2)</f>
        <v>7C</v>
      </c>
      <c r="C23" s="8" t="str">
        <f ca="1">DEC2HEX(H31, 2)</f>
        <v>00</v>
      </c>
      <c r="D23" s="8" t="str">
        <f ca="1">DEC2HEX(I31, 2)</f>
        <v>00</v>
      </c>
      <c r="E23" s="8" t="str">
        <f ca="1">DEC2HEX(J31,2)</f>
        <v>00</v>
      </c>
      <c r="F23" s="3">
        <f ca="1">IF(A21, 128, 0)</f>
        <v>0</v>
      </c>
      <c r="G23" s="3">
        <f ca="1">IF(B21, 128, 0)</f>
        <v>0</v>
      </c>
      <c r="H23" s="3">
        <f ca="1">IF(C21, 128, 0)</f>
        <v>0</v>
      </c>
      <c r="I23" s="3">
        <f ca="1">IF(D21, 128, 0)</f>
        <v>0</v>
      </c>
      <c r="J23" s="3">
        <f ca="1">IF(E21, 128, 0)</f>
        <v>0</v>
      </c>
      <c r="K23" s="3">
        <f>IF(F21, 128, 0)</f>
        <v>0</v>
      </c>
      <c r="L23" s="3"/>
      <c r="M23" s="3"/>
      <c r="N23" s="3"/>
      <c r="O23" s="3"/>
      <c r="P23" s="3"/>
      <c r="Q23" s="3"/>
      <c r="R23" s="3"/>
      <c r="S23" s="8" t="str">
        <f ca="1">DEC2HEX(AA31, 2)</f>
        <v>00</v>
      </c>
      <c r="T23" s="8" t="str">
        <f ca="1">DEC2HEX(AB31, 2)</f>
        <v>0A</v>
      </c>
      <c r="U23" s="8" t="str">
        <f ca="1">DEC2HEX(AC31, 2)</f>
        <v>04</v>
      </c>
      <c r="V23" s="8" t="str">
        <f ca="1">DEC2HEX(AD31, 2)</f>
        <v>0A</v>
      </c>
      <c r="W23" s="8" t="str">
        <f ca="1">DEC2HEX(AE31,2)</f>
        <v>00</v>
      </c>
      <c r="X23" s="8" t="str">
        <f ca="1">DEC2HEX(AF31,2)</f>
        <v>00</v>
      </c>
      <c r="Y23" s="8" t="str">
        <f ca="1">DEC2HEX(AG31,2)</f>
        <v>00</v>
      </c>
      <c r="Z23" s="10"/>
      <c r="AA23" s="3">
        <f ca="1">IF(S21, 128, 0)</f>
        <v>0</v>
      </c>
      <c r="AB23" s="3">
        <f ca="1">IF(T21, 128, 0)</f>
        <v>0</v>
      </c>
      <c r="AC23" s="3">
        <f ca="1">IF(U21, 128, 0)</f>
        <v>0</v>
      </c>
      <c r="AD23" s="3">
        <f ca="1">IF(V21, 128, 0)</f>
        <v>0</v>
      </c>
      <c r="AE23" s="3">
        <f ca="1">IF(W21, 128, 0)</f>
        <v>0</v>
      </c>
      <c r="AF23" s="3">
        <f ca="1">IF(X21, 128, 0)</f>
        <v>0</v>
      </c>
      <c r="AG23" s="3">
        <f ca="1">IF(Y21, 128, 0)</f>
        <v>0</v>
      </c>
    </row>
    <row r="24" spans="1:33" x14ac:dyDescent="0.25">
      <c r="B24" s="3"/>
      <c r="C24" s="3"/>
      <c r="D24" s="3"/>
      <c r="E24" s="3"/>
      <c r="F24" s="3">
        <f ca="1">IF(A20, 64, 0)</f>
        <v>0</v>
      </c>
      <c r="G24" s="3">
        <f ca="1">IF(B20, 64, 0)</f>
        <v>64</v>
      </c>
      <c r="H24" s="3">
        <f ca="1">IF(C20, 64, 0)</f>
        <v>0</v>
      </c>
      <c r="I24" s="3">
        <f ca="1">IF(D20, 64, 0)</f>
        <v>0</v>
      </c>
      <c r="J24" s="3">
        <f ca="1">IF(E20, 64, 0)</f>
        <v>0</v>
      </c>
      <c r="K24" s="3">
        <f>IF(F20, 64, 0)</f>
        <v>0</v>
      </c>
      <c r="L24" s="3"/>
      <c r="M24" s="3"/>
      <c r="N24" s="3"/>
      <c r="O24" s="3"/>
      <c r="P24" s="3"/>
      <c r="Q24" s="3"/>
      <c r="R24" s="3"/>
      <c r="T24" s="3"/>
      <c r="U24" s="3"/>
      <c r="V24" s="3"/>
      <c r="W24" s="3"/>
      <c r="X24" s="3"/>
      <c r="Y24" s="3"/>
      <c r="Z24" s="3"/>
      <c r="AA24" s="3">
        <f ca="1">IF(S20, 64, 0)</f>
        <v>0</v>
      </c>
      <c r="AB24" s="3">
        <f ca="1">IF(T20, 64, 0)</f>
        <v>0</v>
      </c>
      <c r="AC24" s="3">
        <f ca="1">IF(U20, 64, 0)</f>
        <v>0</v>
      </c>
      <c r="AD24" s="3">
        <f ca="1">IF(V20, 64, 0)</f>
        <v>0</v>
      </c>
      <c r="AE24" s="3">
        <f ca="1">IF(W20, 64, 0)</f>
        <v>0</v>
      </c>
      <c r="AF24" s="3">
        <f ca="1">IF(X20, 64, 0)</f>
        <v>0</v>
      </c>
      <c r="AG24" s="3">
        <f ca="1">IF(Y20, 64, 0)</f>
        <v>0</v>
      </c>
    </row>
    <row r="25" spans="1:33" x14ac:dyDescent="0.25">
      <c r="B25" s="3"/>
      <c r="C25" s="3"/>
      <c r="D25" s="3"/>
      <c r="E25" s="3"/>
      <c r="F25" s="3">
        <f ca="1">IF(A19, 32, 0)</f>
        <v>0</v>
      </c>
      <c r="G25" s="3">
        <f ca="1">IF(B19, 32, 0)</f>
        <v>32</v>
      </c>
      <c r="H25" s="3">
        <f ca="1">IF(C19, 32, 0)</f>
        <v>0</v>
      </c>
      <c r="I25" s="3">
        <f ca="1">IF(D19, 32, 0)</f>
        <v>0</v>
      </c>
      <c r="J25" s="3">
        <f ca="1">IF(E19, 32, 0)</f>
        <v>0</v>
      </c>
      <c r="K25" s="3">
        <f>IF(F19, 32, 0)</f>
        <v>0</v>
      </c>
      <c r="L25" s="3"/>
      <c r="M25" s="3"/>
      <c r="N25" s="3"/>
      <c r="O25" s="3"/>
      <c r="P25" s="3"/>
      <c r="Q25" s="3"/>
      <c r="R25" s="3"/>
      <c r="T25" s="3"/>
      <c r="U25" s="3"/>
      <c r="V25" s="3"/>
      <c r="W25" s="3"/>
      <c r="X25" s="3"/>
      <c r="Y25" s="3"/>
      <c r="Z25" s="3"/>
      <c r="AA25" s="3">
        <f ca="1">IF(S19, 32, 0)</f>
        <v>0</v>
      </c>
      <c r="AB25" s="3">
        <f ca="1">IF(T19, 32, 0)</f>
        <v>0</v>
      </c>
      <c r="AC25" s="3">
        <f ca="1">IF(U19, 32, 0)</f>
        <v>0</v>
      </c>
      <c r="AD25" s="3">
        <f ca="1">IF(V19, 32, 0)</f>
        <v>0</v>
      </c>
      <c r="AE25" s="3">
        <f ca="1">IF(W19, 32, 0)</f>
        <v>0</v>
      </c>
      <c r="AF25" s="3">
        <f ca="1">IF(X19, 32, 0)</f>
        <v>0</v>
      </c>
      <c r="AG25" s="3">
        <f ca="1">IF(Y19, 32, 0)</f>
        <v>0</v>
      </c>
    </row>
    <row r="26" spans="1:33" x14ac:dyDescent="0.25">
      <c r="B26" s="3"/>
      <c r="C26" s="3"/>
      <c r="D26" s="3"/>
      <c r="E26" s="3"/>
      <c r="F26" s="3">
        <f ca="1">IF(A18, 16, 0)</f>
        <v>0</v>
      </c>
      <c r="G26" s="3">
        <f ca="1">IF(B18, 16, 0)</f>
        <v>16</v>
      </c>
      <c r="H26" s="3">
        <f ca="1">IF(C18, 16, 0)</f>
        <v>0</v>
      </c>
      <c r="I26" s="3">
        <f ca="1">IF(D18, 16, 0)</f>
        <v>0</v>
      </c>
      <c r="J26" s="3">
        <f ca="1">IF(E18, 16, 0)</f>
        <v>0</v>
      </c>
      <c r="K26" s="3">
        <f>IF(F18, 16, 0)</f>
        <v>0</v>
      </c>
      <c r="L26" s="3"/>
      <c r="M26" s="3"/>
      <c r="N26" s="3"/>
      <c r="O26" s="3"/>
      <c r="P26" s="3"/>
      <c r="Q26" s="3"/>
      <c r="R26" s="3"/>
      <c r="T26" s="3"/>
      <c r="U26" s="3"/>
      <c r="V26" s="3"/>
      <c r="W26" s="3"/>
      <c r="X26" s="3"/>
      <c r="Y26" s="3"/>
      <c r="Z26" s="3"/>
      <c r="AA26" s="3">
        <f ca="1">IF(S18, 16, 0)</f>
        <v>0</v>
      </c>
      <c r="AB26" s="3">
        <f ca="1">IF(T18, 16, 0)</f>
        <v>0</v>
      </c>
      <c r="AC26" s="3">
        <f ca="1">IF(U18, 16, 0)</f>
        <v>0</v>
      </c>
      <c r="AD26" s="3">
        <f ca="1">IF(V18, 16, 0)</f>
        <v>0</v>
      </c>
      <c r="AE26" s="3">
        <f ca="1">IF(W18, 16, 0)</f>
        <v>0</v>
      </c>
      <c r="AF26" s="3">
        <f ca="1">IF(X18, 16, 0)</f>
        <v>0</v>
      </c>
      <c r="AG26" s="3">
        <f ca="1">IF(Y18, 16, 0)</f>
        <v>0</v>
      </c>
    </row>
    <row r="27" spans="1:33" x14ac:dyDescent="0.25">
      <c r="B27" s="3"/>
      <c r="C27" s="3"/>
      <c r="D27" s="3"/>
      <c r="E27" s="3"/>
      <c r="F27" s="3">
        <f ca="1">IF(A17, 8, 0)</f>
        <v>8</v>
      </c>
      <c r="G27" s="3">
        <f ca="1">IF(B17, 8, 0)</f>
        <v>8</v>
      </c>
      <c r="H27" s="3">
        <f ca="1">IF(C17, 8, 0)</f>
        <v>0</v>
      </c>
      <c r="I27" s="3">
        <f ca="1">IF(D17, 8, 0)</f>
        <v>0</v>
      </c>
      <c r="J27" s="3">
        <f ca="1">IF(E17, 8, 0)</f>
        <v>0</v>
      </c>
      <c r="K27" s="3">
        <f>IF(F17, 8, 0)</f>
        <v>0</v>
      </c>
      <c r="L27" s="3"/>
      <c r="M27" s="3"/>
      <c r="N27" s="3"/>
      <c r="O27" s="3"/>
      <c r="P27" s="3"/>
      <c r="Q27" s="3"/>
      <c r="R27" s="3"/>
      <c r="T27" s="3"/>
      <c r="U27" s="3"/>
      <c r="V27" s="3"/>
      <c r="W27" s="3"/>
      <c r="X27" s="3"/>
      <c r="Y27" s="3"/>
      <c r="Z27" s="3"/>
      <c r="AA27" s="3">
        <f ca="1">IF(S17, 8, 0)</f>
        <v>0</v>
      </c>
      <c r="AB27" s="3">
        <f ca="1">IF(T17, 8, 0)</f>
        <v>8</v>
      </c>
      <c r="AC27" s="3">
        <f ca="1">IF(U17, 8, 0)</f>
        <v>0</v>
      </c>
      <c r="AD27" s="3">
        <f ca="1">IF(V17, 8, 0)</f>
        <v>8</v>
      </c>
      <c r="AE27" s="3">
        <f ca="1">IF(W17, 8, 0)</f>
        <v>0</v>
      </c>
      <c r="AF27" s="3">
        <f ca="1">IF(X17, 8, 0)</f>
        <v>0</v>
      </c>
      <c r="AG27" s="3">
        <f ca="1">IF(Y17, 8, 0)</f>
        <v>0</v>
      </c>
    </row>
    <row r="28" spans="1:33" x14ac:dyDescent="0.25">
      <c r="B28" s="3"/>
      <c r="C28" s="3"/>
      <c r="D28" s="3"/>
      <c r="E28" s="3"/>
      <c r="F28" s="3">
        <f ca="1">IF(A16, 4, 0)</f>
        <v>0</v>
      </c>
      <c r="G28" s="3">
        <f ca="1">IF(B16, 4, 0)</f>
        <v>4</v>
      </c>
      <c r="H28" s="3">
        <f ca="1">IF(C16, 4, 0)</f>
        <v>0</v>
      </c>
      <c r="I28" s="3">
        <f ca="1">IF(D16, 4, 0)</f>
        <v>0</v>
      </c>
      <c r="J28" s="3">
        <f ca="1">IF(E16, 4, 0)</f>
        <v>0</v>
      </c>
      <c r="K28" s="3">
        <f>IF(F16, 4, 0)</f>
        <v>0</v>
      </c>
      <c r="L28" s="3"/>
      <c r="M28" s="3"/>
      <c r="N28" s="3"/>
      <c r="O28" s="3"/>
      <c r="P28" s="3"/>
      <c r="Q28" s="3"/>
      <c r="R28" s="3"/>
      <c r="T28" s="3"/>
      <c r="U28" s="3"/>
      <c r="V28" s="3"/>
      <c r="W28" s="3"/>
      <c r="X28" s="3"/>
      <c r="Y28" s="3"/>
      <c r="Z28" s="3"/>
      <c r="AA28" s="3">
        <f ca="1">IF(S16, 4, 0)</f>
        <v>0</v>
      </c>
      <c r="AB28" s="3">
        <f ca="1">IF(T16, 4, 0)</f>
        <v>0</v>
      </c>
      <c r="AC28" s="3">
        <f ca="1">IF(U16, 4, 0)</f>
        <v>4</v>
      </c>
      <c r="AD28" s="3">
        <f ca="1">IF(V16, 4, 0)</f>
        <v>0</v>
      </c>
      <c r="AE28" s="3">
        <f ca="1">IF(W16, 4, 0)</f>
        <v>0</v>
      </c>
      <c r="AF28" s="3">
        <f ca="1">IF(X16, 4, 0)</f>
        <v>0</v>
      </c>
      <c r="AG28" s="3">
        <f ca="1">IF(Y16, 4, 0)</f>
        <v>0</v>
      </c>
    </row>
    <row r="29" spans="1:33" x14ac:dyDescent="0.25">
      <c r="B29" s="3"/>
      <c r="C29" s="3"/>
      <c r="D29" s="3"/>
      <c r="E29" s="3"/>
      <c r="F29" s="3">
        <f ca="1">IF(A15, 2, 0)</f>
        <v>0</v>
      </c>
      <c r="G29" s="3">
        <f ca="1">IF(B15, 2, 0)</f>
        <v>0</v>
      </c>
      <c r="H29" s="3">
        <f ca="1">IF(C15, 2, 0)</f>
        <v>0</v>
      </c>
      <c r="I29" s="3">
        <f ca="1">IF(D15, 2, 0)</f>
        <v>0</v>
      </c>
      <c r="J29" s="3">
        <f ca="1">IF(E15, 2, 0)</f>
        <v>0</v>
      </c>
      <c r="K29" s="3">
        <f>IF(F15, 2, 0)</f>
        <v>0</v>
      </c>
      <c r="L29" s="3"/>
      <c r="M29" s="3"/>
      <c r="N29" s="3"/>
      <c r="O29" s="3"/>
      <c r="P29" s="3"/>
      <c r="Q29" s="3"/>
      <c r="R29" s="3"/>
      <c r="T29" s="3"/>
      <c r="U29" s="3"/>
      <c r="V29" s="3"/>
      <c r="W29" s="3"/>
      <c r="X29" s="3"/>
      <c r="Y29" s="3"/>
      <c r="Z29" s="3"/>
      <c r="AA29" s="3">
        <f ca="1">IF(S15, 2, 0)</f>
        <v>0</v>
      </c>
      <c r="AB29" s="3">
        <f ca="1">IF(T15, 2, 0)</f>
        <v>2</v>
      </c>
      <c r="AC29" s="3">
        <f ca="1">IF(U15, 2, 0)</f>
        <v>0</v>
      </c>
      <c r="AD29" s="3">
        <f ca="1">IF(V15, 2, 0)</f>
        <v>2</v>
      </c>
      <c r="AE29" s="3">
        <f ca="1">IF(W15, 2, 0)</f>
        <v>0</v>
      </c>
      <c r="AF29" s="3">
        <f ca="1">IF(X15, 2, 0)</f>
        <v>0</v>
      </c>
      <c r="AG29" s="3">
        <f ca="1">IF(Y15, 2, 0)</f>
        <v>0</v>
      </c>
    </row>
    <row r="30" spans="1:33" x14ac:dyDescent="0.25">
      <c r="B30" s="3"/>
      <c r="C30" s="3"/>
      <c r="D30" s="3"/>
      <c r="E30" s="3"/>
      <c r="F30" s="3">
        <f ca="1">IF(A14, 1, 0)</f>
        <v>0</v>
      </c>
      <c r="G30" s="3">
        <f ca="1">IF(B14, 1, 0)</f>
        <v>0</v>
      </c>
      <c r="H30" s="3">
        <f ca="1">IF(C14, 1, 0)</f>
        <v>0</v>
      </c>
      <c r="I30" s="3">
        <f ca="1">IF(D14, 1, 0)</f>
        <v>0</v>
      </c>
      <c r="J30" s="3">
        <f ca="1">IF(E14, 1, 0)</f>
        <v>0</v>
      </c>
      <c r="K30" s="3">
        <f>IF(F14, 1, 0)</f>
        <v>0</v>
      </c>
      <c r="L30" s="3"/>
      <c r="M30" s="3"/>
      <c r="N30" s="3"/>
      <c r="O30" s="3"/>
      <c r="P30" s="3"/>
      <c r="Q30" s="3"/>
      <c r="R30" s="3"/>
      <c r="T30" s="3"/>
      <c r="U30" s="3"/>
      <c r="V30" s="3"/>
      <c r="W30" s="3"/>
      <c r="X30" s="3"/>
      <c r="Y30" s="3"/>
      <c r="Z30" s="3"/>
      <c r="AA30" s="3">
        <f ca="1">IF(S14, 1, 0)</f>
        <v>0</v>
      </c>
      <c r="AB30" s="3">
        <f ca="1">IF(T14, 1, 0)</f>
        <v>0</v>
      </c>
      <c r="AC30" s="3">
        <f ca="1">IF(U14, 1, 0)</f>
        <v>0</v>
      </c>
      <c r="AD30" s="3">
        <f ca="1">IF(V14, 1, 0)</f>
        <v>0</v>
      </c>
      <c r="AE30" s="3">
        <f ca="1">IF(W14, 1, 0)</f>
        <v>0</v>
      </c>
      <c r="AF30" s="3">
        <f ca="1">IF(X14, 1, 0)</f>
        <v>0</v>
      </c>
      <c r="AG30" s="3">
        <f ca="1">IF(Y14, 1, 0)</f>
        <v>0</v>
      </c>
    </row>
    <row r="31" spans="1:33" x14ac:dyDescent="0.25">
      <c r="B31" s="3"/>
      <c r="C31" s="3"/>
      <c r="D31" s="3"/>
      <c r="E31" s="3"/>
      <c r="F31" s="7">
        <f ca="1">SUM(F23:F30)</f>
        <v>8</v>
      </c>
      <c r="G31" s="7">
        <f ca="1">SUM(G23:G30)</f>
        <v>124</v>
      </c>
      <c r="H31" s="7">
        <f ca="1">SUM(H23:H30)</f>
        <v>0</v>
      </c>
      <c r="I31" s="7">
        <f ca="1">SUM(I23:I30)</f>
        <v>0</v>
      </c>
      <c r="J31" s="7">
        <f ca="1">SUM(J23:J30)</f>
        <v>0</v>
      </c>
      <c r="K31" s="7">
        <f>SUM(K23:K30)</f>
        <v>0</v>
      </c>
      <c r="L31" s="3"/>
      <c r="M31" s="3"/>
      <c r="N31" s="3"/>
      <c r="O31" s="3"/>
      <c r="P31" s="3"/>
      <c r="Q31" s="3"/>
      <c r="R31" s="3"/>
      <c r="T31" s="3"/>
      <c r="U31" s="3"/>
      <c r="V31" s="3"/>
      <c r="W31" s="3"/>
      <c r="X31" s="3"/>
      <c r="Y31" s="3"/>
      <c r="Z31" s="3"/>
      <c r="AA31" s="7">
        <f ca="1">SUM(AA23:AA30)</f>
        <v>0</v>
      </c>
      <c r="AB31" s="7">
        <f ca="1">SUM(AB23:AB30)</f>
        <v>10</v>
      </c>
      <c r="AC31" s="7">
        <f ca="1">SUM(AC23:AC30)</f>
        <v>4</v>
      </c>
      <c r="AD31" s="7">
        <f ca="1">SUM(AD23:AD30)</f>
        <v>10</v>
      </c>
      <c r="AE31" s="7">
        <f ca="1">SUM(AE23:AE30)</f>
        <v>0</v>
      </c>
      <c r="AF31" s="7">
        <f ca="1">SUM(AF23:AF30)</f>
        <v>0</v>
      </c>
      <c r="AG31" s="7">
        <f ca="1">SUM(AG23:AG30)</f>
        <v>0</v>
      </c>
    </row>
    <row r="32" spans="1:33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2:17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2:17" x14ac:dyDescent="0.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G6" sqref="G6"/>
    </sheetView>
  </sheetViews>
  <sheetFormatPr defaultRowHeight="15" x14ac:dyDescent="0.25"/>
  <cols>
    <col min="1" max="1" width="3" customWidth="1"/>
    <col min="2" max="2" width="3.42578125" customWidth="1"/>
    <col min="3" max="3" width="3" customWidth="1"/>
    <col min="4" max="4" width="3.5703125" customWidth="1"/>
    <col min="5" max="5" width="4.42578125" customWidth="1"/>
    <col min="6" max="6" width="4.5703125" customWidth="1"/>
  </cols>
  <sheetData>
    <row r="1" spans="1:13" ht="20.25" x14ac:dyDescent="0.3">
      <c r="A1" s="5" t="s">
        <v>0</v>
      </c>
    </row>
    <row r="3" spans="1:13" ht="15.75" thickBot="1" x14ac:dyDescent="0.3"/>
    <row r="4" spans="1:13" ht="16.5" thickTop="1" thickBot="1" x14ac:dyDescent="0.3">
      <c r="A4" s="2"/>
      <c r="B4" s="2"/>
      <c r="C4" s="2"/>
      <c r="D4" s="2"/>
      <c r="E4" s="2"/>
      <c r="F4" s="9"/>
      <c r="G4" s="1"/>
    </row>
    <row r="5" spans="1:13" ht="16.5" thickTop="1" thickBot="1" x14ac:dyDescent="0.3">
      <c r="A5" s="2"/>
      <c r="B5" s="9"/>
      <c r="D5" s="2"/>
      <c r="E5" s="2"/>
      <c r="F5" s="9"/>
      <c r="G5" s="1"/>
    </row>
    <row r="6" spans="1:13" ht="16.5" thickTop="1" thickBot="1" x14ac:dyDescent="0.3">
      <c r="A6" s="2"/>
      <c r="B6" s="9"/>
      <c r="E6" s="2"/>
      <c r="F6" s="9"/>
      <c r="G6" s="1"/>
    </row>
    <row r="7" spans="1:13" ht="16.5" thickTop="1" thickBot="1" x14ac:dyDescent="0.3">
      <c r="A7" s="2"/>
      <c r="E7" s="2"/>
      <c r="F7" s="9"/>
      <c r="G7" s="1"/>
    </row>
    <row r="8" spans="1:13" ht="16.5" thickTop="1" thickBot="1" x14ac:dyDescent="0.3">
      <c r="A8" s="2"/>
      <c r="D8" s="2"/>
      <c r="E8" s="2"/>
      <c r="F8" s="9"/>
      <c r="G8" s="1"/>
    </row>
    <row r="9" spans="1:13" ht="16.5" thickTop="1" thickBot="1" x14ac:dyDescent="0.3">
      <c r="A9" s="2"/>
      <c r="B9" s="2"/>
      <c r="C9" s="2"/>
      <c r="D9" s="2"/>
      <c r="E9" s="2"/>
      <c r="F9" s="9"/>
      <c r="G9" s="1"/>
    </row>
    <row r="10" spans="1:13" ht="15.75" thickTop="1" x14ac:dyDescent="0.25">
      <c r="A10" s="9"/>
      <c r="B10" s="9"/>
      <c r="C10" s="9"/>
      <c r="D10" s="9"/>
      <c r="E10" s="9"/>
      <c r="F10" s="9"/>
      <c r="G10" s="1"/>
    </row>
    <row r="11" spans="1:13" x14ac:dyDescent="0.25">
      <c r="A11" s="9"/>
      <c r="B11" s="9"/>
      <c r="C11" s="9"/>
      <c r="D11" s="9"/>
      <c r="E11" s="9"/>
      <c r="F11" s="9"/>
      <c r="G11" s="1"/>
    </row>
    <row r="12" spans="1:13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25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25">
      <c r="A14">
        <f ca="1">BGCol(A4)</f>
        <v>1</v>
      </c>
      <c r="B14">
        <f ca="1">BGCol(B4)</f>
        <v>1</v>
      </c>
      <c r="C14">
        <f ca="1">BGCol(C4)</f>
        <v>1</v>
      </c>
      <c r="D14">
        <f ca="1">BGCol(D4)</f>
        <v>1</v>
      </c>
      <c r="E14">
        <f ca="1">BGCol(E4)</f>
        <v>1</v>
      </c>
      <c r="H14" s="3"/>
      <c r="I14" s="3"/>
      <c r="J14" s="3"/>
      <c r="K14" s="3"/>
      <c r="L14" s="3"/>
      <c r="M14" s="3"/>
    </row>
    <row r="15" spans="1:13" x14ac:dyDescent="0.25">
      <c r="A15">
        <f ca="1">BGCol(A5)</f>
        <v>1</v>
      </c>
      <c r="B15">
        <f ca="1">BGCol(B5)</f>
        <v>0</v>
      </c>
      <c r="C15">
        <f ca="1">BGCol(C5)</f>
        <v>0</v>
      </c>
      <c r="D15">
        <f ca="1">BGCol(D5)</f>
        <v>1</v>
      </c>
      <c r="E15">
        <f ca="1">BGCol(E5)</f>
        <v>1</v>
      </c>
      <c r="H15" s="3"/>
      <c r="I15" s="3"/>
      <c r="J15" s="3"/>
      <c r="K15" s="3"/>
      <c r="L15" s="3"/>
      <c r="M15" s="3"/>
    </row>
    <row r="16" spans="1:13" x14ac:dyDescent="0.25">
      <c r="A16">
        <f ca="1">BGCol(A6)</f>
        <v>1</v>
      </c>
      <c r="B16">
        <f ca="1">BGCol(B6)</f>
        <v>0</v>
      </c>
      <c r="C16">
        <f ca="1">BGCol(C6)</f>
        <v>0</v>
      </c>
      <c r="D16">
        <f ca="1">BGCol(D6)</f>
        <v>0</v>
      </c>
      <c r="E16">
        <f ca="1">BGCol(E6)</f>
        <v>1</v>
      </c>
      <c r="H16" s="3"/>
      <c r="I16" s="3"/>
      <c r="J16" s="3"/>
      <c r="K16" s="3"/>
      <c r="L16" s="3"/>
      <c r="M16" s="3"/>
    </row>
    <row r="17" spans="1:13" x14ac:dyDescent="0.25">
      <c r="A17">
        <f ca="1">BGCol(A7)</f>
        <v>1</v>
      </c>
      <c r="B17">
        <f ca="1">BGCol(B7)</f>
        <v>0</v>
      </c>
      <c r="C17">
        <f ca="1">BGCol(C7)</f>
        <v>0</v>
      </c>
      <c r="D17">
        <f ca="1">BGCol(D7)</f>
        <v>0</v>
      </c>
      <c r="E17">
        <f ca="1">BGCol(E7)</f>
        <v>1</v>
      </c>
      <c r="H17" s="3"/>
      <c r="I17" s="3"/>
      <c r="J17" s="3"/>
      <c r="K17" s="3"/>
      <c r="L17" s="3"/>
      <c r="M17" s="3"/>
    </row>
    <row r="18" spans="1:13" x14ac:dyDescent="0.25">
      <c r="A18">
        <f ca="1">BGCol(A8)</f>
        <v>1</v>
      </c>
      <c r="B18">
        <f ca="1">BGCol(B8)</f>
        <v>0</v>
      </c>
      <c r="C18">
        <f ca="1">BGCol(C8)</f>
        <v>0</v>
      </c>
      <c r="D18">
        <f ca="1">BGCol(D8)</f>
        <v>1</v>
      </c>
      <c r="E18">
        <f ca="1">BGCol(E8)</f>
        <v>1</v>
      </c>
      <c r="H18" s="3"/>
      <c r="I18" s="3"/>
      <c r="J18" s="3"/>
      <c r="K18" s="3"/>
      <c r="L18" s="3"/>
      <c r="M18" s="3"/>
    </row>
    <row r="19" spans="1:13" x14ac:dyDescent="0.25">
      <c r="A19">
        <f ca="1">BGCol(A9)</f>
        <v>1</v>
      </c>
      <c r="B19">
        <f ca="1">BGCol(B9)</f>
        <v>1</v>
      </c>
      <c r="C19">
        <f ca="1">BGCol(C9)</f>
        <v>1</v>
      </c>
      <c r="D19">
        <f ca="1">BGCol(D9)</f>
        <v>1</v>
      </c>
      <c r="E19">
        <f ca="1">BGCol(E9)</f>
        <v>1</v>
      </c>
      <c r="H19" s="3"/>
      <c r="I19" s="3"/>
      <c r="J19" s="3"/>
      <c r="K19" s="3"/>
      <c r="L19" s="3"/>
      <c r="M19" s="3"/>
    </row>
    <row r="20" spans="1:13" x14ac:dyDescent="0.25">
      <c r="A20">
        <f ca="1">BGCol(A10)</f>
        <v>0</v>
      </c>
      <c r="B20">
        <f ca="1">BGCol(B10)</f>
        <v>0</v>
      </c>
      <c r="C20">
        <f ca="1">BGCol(C10)</f>
        <v>0</v>
      </c>
      <c r="D20">
        <f ca="1">BGCol(D10)</f>
        <v>0</v>
      </c>
      <c r="E20">
        <f ca="1">BGCol(E10)</f>
        <v>0</v>
      </c>
      <c r="H20" s="3"/>
      <c r="I20" s="3"/>
      <c r="J20" s="3"/>
      <c r="K20" s="3"/>
      <c r="L20" s="3"/>
      <c r="M20" s="3"/>
    </row>
    <row r="21" spans="1:13" x14ac:dyDescent="0.25">
      <c r="A21">
        <f ca="1">BGCol(A11)</f>
        <v>0</v>
      </c>
      <c r="B21">
        <f ca="1">BGCol(B11)</f>
        <v>0</v>
      </c>
      <c r="C21">
        <f ca="1">BGCol(C11)</f>
        <v>0</v>
      </c>
      <c r="D21">
        <f ca="1">BGCol(D11)</f>
        <v>0</v>
      </c>
      <c r="E21">
        <f ca="1">BGCol(E11)</f>
        <v>0</v>
      </c>
      <c r="H21" s="3"/>
      <c r="I21" s="3"/>
      <c r="J21" s="3"/>
      <c r="K21" s="3"/>
      <c r="L21" s="3"/>
      <c r="M21" s="3"/>
    </row>
    <row r="22" spans="1:13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x14ac:dyDescent="0.25">
      <c r="A23" s="8" t="str">
        <f ca="1">DEC2HEX(H31, 2)</f>
        <v>3F</v>
      </c>
      <c r="B23" s="8" t="str">
        <f ca="1">DEC2HEX(I31)</f>
        <v>21</v>
      </c>
      <c r="C23" s="8" t="str">
        <f ca="1">DEC2HEX(J31, 2)</f>
        <v>21</v>
      </c>
      <c r="D23" s="8" t="str">
        <f ca="1">DEC2HEX(K31, 2)</f>
        <v>33</v>
      </c>
      <c r="E23" s="8" t="str">
        <f ca="1">DEC2HEX(L31,2)</f>
        <v>3F</v>
      </c>
      <c r="F23" s="10"/>
      <c r="G23" s="10"/>
      <c r="H23" s="3">
        <f ca="1">IF(A21, 128, 0)</f>
        <v>0</v>
      </c>
      <c r="I23" s="3">
        <f ca="1">IF(B21, 128, 0)</f>
        <v>0</v>
      </c>
      <c r="J23" s="3">
        <f ca="1">IF(C21, 128, 0)</f>
        <v>0</v>
      </c>
      <c r="K23" s="3">
        <f ca="1">IF(D21, 128, 0)</f>
        <v>0</v>
      </c>
      <c r="L23" s="3">
        <f ca="1">IF(E21, 128, 0)</f>
        <v>0</v>
      </c>
      <c r="M23" s="3">
        <f>IF(H21, 128, 0)</f>
        <v>0</v>
      </c>
    </row>
    <row r="24" spans="1:13" x14ac:dyDescent="0.25">
      <c r="B24" s="3"/>
      <c r="C24" s="3"/>
      <c r="D24" s="3"/>
      <c r="E24" s="3"/>
      <c r="F24" s="3"/>
      <c r="G24" s="3"/>
      <c r="H24" s="3">
        <f ca="1">IF(A20, 64, 0)</f>
        <v>0</v>
      </c>
      <c r="I24" s="3">
        <f ca="1">IF(B20, 64, 0)</f>
        <v>0</v>
      </c>
      <c r="J24" s="3">
        <f ca="1">IF(C20, 64, 0)</f>
        <v>0</v>
      </c>
      <c r="K24" s="3">
        <f ca="1">IF(D20, 64, 0)</f>
        <v>0</v>
      </c>
      <c r="L24" s="3">
        <f ca="1">IF(E20, 64, 0)</f>
        <v>0</v>
      </c>
      <c r="M24" s="3">
        <f>IF(H20, 64, 0)</f>
        <v>0</v>
      </c>
    </row>
    <row r="25" spans="1:13" x14ac:dyDescent="0.25">
      <c r="B25" s="3"/>
      <c r="C25" s="3"/>
      <c r="D25" s="3"/>
      <c r="E25" s="3"/>
      <c r="F25" s="3"/>
      <c r="G25" s="3"/>
      <c r="H25" s="3">
        <f ca="1">IF(A19, 32, 0)</f>
        <v>32</v>
      </c>
      <c r="I25" s="3">
        <f ca="1">IF(B19, 32, 0)</f>
        <v>32</v>
      </c>
      <c r="J25" s="3">
        <f ca="1">IF(C19, 32, 0)</f>
        <v>32</v>
      </c>
      <c r="K25" s="3">
        <f ca="1">IF(D19, 32, 0)</f>
        <v>32</v>
      </c>
      <c r="L25" s="3">
        <f ca="1">IF(E19, 32, 0)</f>
        <v>32</v>
      </c>
      <c r="M25" s="3">
        <f>IF(H19, 32, 0)</f>
        <v>0</v>
      </c>
    </row>
    <row r="26" spans="1:13" x14ac:dyDescent="0.25">
      <c r="B26" s="3"/>
      <c r="C26" s="3"/>
      <c r="D26" s="3"/>
      <c r="E26" s="3"/>
      <c r="F26" s="3"/>
      <c r="G26" s="3"/>
      <c r="H26" s="3">
        <f ca="1">IF(A18, 16, 0)</f>
        <v>16</v>
      </c>
      <c r="I26" s="3">
        <f ca="1">IF(B18, 16, 0)</f>
        <v>0</v>
      </c>
      <c r="J26" s="3">
        <f ca="1">IF(C18, 16, 0)</f>
        <v>0</v>
      </c>
      <c r="K26" s="3">
        <f ca="1">IF(D18, 16, 0)</f>
        <v>16</v>
      </c>
      <c r="L26" s="3">
        <f ca="1">IF(E18, 16, 0)</f>
        <v>16</v>
      </c>
      <c r="M26" s="3">
        <f>IF(H18, 16, 0)</f>
        <v>0</v>
      </c>
    </row>
    <row r="27" spans="1:13" x14ac:dyDescent="0.25">
      <c r="B27" s="3"/>
      <c r="C27" s="3"/>
      <c r="D27" s="3"/>
      <c r="E27" s="3"/>
      <c r="F27" s="3"/>
      <c r="G27" s="3"/>
      <c r="H27" s="3">
        <f ca="1">IF(A17, 8, 0)</f>
        <v>8</v>
      </c>
      <c r="I27" s="3">
        <f ca="1">IF(B17, 8, 0)</f>
        <v>0</v>
      </c>
      <c r="J27" s="3">
        <f ca="1">IF(C17, 8, 0)</f>
        <v>0</v>
      </c>
      <c r="K27" s="3">
        <f ca="1">IF(D17, 8, 0)</f>
        <v>0</v>
      </c>
      <c r="L27" s="3">
        <f ca="1">IF(E17, 8, 0)</f>
        <v>8</v>
      </c>
      <c r="M27" s="3">
        <f>IF(H17, 8, 0)</f>
        <v>0</v>
      </c>
    </row>
    <row r="28" spans="1:13" x14ac:dyDescent="0.25">
      <c r="B28" s="3"/>
      <c r="C28" s="3"/>
      <c r="D28" s="3"/>
      <c r="E28" s="3"/>
      <c r="F28" s="3"/>
      <c r="G28" s="3"/>
      <c r="H28" s="3">
        <f ca="1">IF(A16, 4, 0)</f>
        <v>4</v>
      </c>
      <c r="I28" s="3">
        <f ca="1">IF(B16, 4, 0)</f>
        <v>0</v>
      </c>
      <c r="J28" s="3">
        <f ca="1">IF(C16, 4, 0)</f>
        <v>0</v>
      </c>
      <c r="K28" s="3">
        <f ca="1">IF(D16, 4, 0)</f>
        <v>0</v>
      </c>
      <c r="L28" s="3">
        <f ca="1">IF(E16, 4, 0)</f>
        <v>4</v>
      </c>
      <c r="M28" s="3">
        <f>IF(H16, 4, 0)</f>
        <v>0</v>
      </c>
    </row>
    <row r="29" spans="1:13" x14ac:dyDescent="0.25">
      <c r="B29" s="3"/>
      <c r="C29" s="3"/>
      <c r="D29" s="3"/>
      <c r="E29" s="3"/>
      <c r="F29" s="3"/>
      <c r="G29" s="3"/>
      <c r="H29" s="3">
        <f ca="1">IF(A15, 2, 0)</f>
        <v>2</v>
      </c>
      <c r="I29" s="3">
        <f ca="1">IF(B15, 2, 0)</f>
        <v>0</v>
      </c>
      <c r="J29" s="3">
        <f ca="1">IF(C15, 2, 0)</f>
        <v>0</v>
      </c>
      <c r="K29" s="3">
        <f ca="1">IF(D15, 2, 0)</f>
        <v>2</v>
      </c>
      <c r="L29" s="3">
        <f ca="1">IF(E15, 2, 0)</f>
        <v>2</v>
      </c>
      <c r="M29" s="3">
        <f>IF(H15, 2, 0)</f>
        <v>0</v>
      </c>
    </row>
    <row r="30" spans="1:13" x14ac:dyDescent="0.25">
      <c r="B30" s="3"/>
      <c r="C30" s="3"/>
      <c r="D30" s="3"/>
      <c r="E30" s="3"/>
      <c r="F30" s="3"/>
      <c r="G30" s="3"/>
      <c r="H30" s="3">
        <f ca="1">IF(A14, 1, 0)</f>
        <v>1</v>
      </c>
      <c r="I30" s="3">
        <f ca="1">IF(B14, 1, 0)</f>
        <v>1</v>
      </c>
      <c r="J30" s="3">
        <f ca="1">IF(C14, 1, 0)</f>
        <v>1</v>
      </c>
      <c r="K30" s="3">
        <f ca="1">IF(D14, 1, 0)</f>
        <v>1</v>
      </c>
      <c r="L30" s="3">
        <f ca="1">IF(E14, 1, 0)</f>
        <v>1</v>
      </c>
      <c r="M30" s="3">
        <f>IF(H14, 1, 0)</f>
        <v>0</v>
      </c>
    </row>
    <row r="31" spans="1:13" x14ac:dyDescent="0.25">
      <c r="B31" s="3"/>
      <c r="C31" s="3"/>
      <c r="D31" s="3"/>
      <c r="E31" s="3"/>
      <c r="F31" s="3"/>
      <c r="G31" s="3"/>
      <c r="H31" s="7">
        <f ca="1">SUM(H23:H30)</f>
        <v>63</v>
      </c>
      <c r="I31" s="7">
        <f ca="1">SUM(I23:I30)</f>
        <v>33</v>
      </c>
      <c r="J31" s="7">
        <f ca="1">SUM(J23:J30)</f>
        <v>33</v>
      </c>
      <c r="K31" s="7">
        <f ca="1">SUM(K23:K30)</f>
        <v>51</v>
      </c>
      <c r="L31" s="7">
        <f ca="1">SUM(L23:L30)</f>
        <v>63</v>
      </c>
      <c r="M31" s="7">
        <f>SUM(M23:M30)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2017-07-15T17:03:36Z</dcterms:created>
  <dcterms:modified xsi:type="dcterms:W3CDTF">2017-07-15T22:34:58Z</dcterms:modified>
</cp:coreProperties>
</file>